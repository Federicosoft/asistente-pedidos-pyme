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central" sheetId="1" r:id="rId1"/>
  </sheets>
  <definedNames>
    <definedName name="_xlnm._FilterDatabase" localSheetId="0">'Stock central'!A1:G21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4.83203125" customWidth="1"/>
    <col min="2" max="2" width="44.83203125" customWidth="1"/>
    <col min="3" max="3" width="26.83203125" customWidth="1"/>
    <col min="4" max="4" width="20.83203125" customWidth="1"/>
    <col min="5" max="5" width="20.83203125" customWidth="1"/>
    <col min="6" max="6" width="20.83203125" customWidth="1"/>
    <col min="7" max="7" width="22.83203125" customWidth="1"/>
  </cols>
  <sheetData>
    <row r="1" ht="24" customHeight="1">
      <c r="A1" t="str">
        <v>SKU</v>
      </c>
      <c r="B1" t="str">
        <v>Producto</v>
      </c>
      <c r="C1" t="str">
        <v>Categoría</v>
      </c>
      <c r="D1" t="str">
        <v>Stock disponible</v>
      </c>
      <c r="E1" t="str">
        <v>Stock reservado</v>
      </c>
      <c r="F1" t="str">
        <v>Stock utilizable</v>
      </c>
      <c r="G1" t="str">
        <v>Fecha actualización</v>
      </c>
    </row>
    <row r="2" ht="24" customHeight="1">
      <c r="A2" t="str">
        <v>ROD-6205</v>
      </c>
      <c r="B2" t="str">
        <v>Rodamiento SKF 6205</v>
      </c>
      <c r="C2" t="str">
        <v>Rodamientos</v>
      </c>
      <c r="D2">
        <v>120</v>
      </c>
      <c r="E2">
        <v>10</v>
      </c>
      <c r="F2">
        <f>D2-E2</f>
        <v>110</v>
      </c>
      <c r="G2" s="1">
        <v>46273.87467592592</v>
      </c>
    </row>
    <row r="3" ht="24" customHeight="1">
      <c r="A3" t="str">
        <v>ABC-100</v>
      </c>
      <c r="B3" t="str">
        <v>Rodamiento rígido ABC-100</v>
      </c>
      <c r="C3" t="str">
        <v>Rodamientos</v>
      </c>
      <c r="D3">
        <v>500</v>
      </c>
      <c r="E3">
        <v>30</v>
      </c>
      <c r="F3">
        <f>D3-E3</f>
        <v>470</v>
      </c>
      <c r="G3" s="1">
        <v>46273.87467592592</v>
      </c>
    </row>
    <row r="4" ht="24" customHeight="1">
      <c r="A4" t="str">
        <v>MTR-200</v>
      </c>
      <c r="B4" t="str">
        <v>Motor eléctrico trifásico MTR-200</v>
      </c>
      <c r="C4" t="str">
        <v>Motores eléctricos</v>
      </c>
      <c r="D4">
        <v>17</v>
      </c>
      <c r="E4">
        <v>5</v>
      </c>
      <c r="F4">
        <f>D4-E4</f>
        <v>12</v>
      </c>
      <c r="G4" s="1">
        <v>46273.87467592592</v>
      </c>
    </row>
    <row r="5" ht="24" customHeight="1">
      <c r="A5" t="str">
        <v>CR-100</v>
      </c>
      <c r="B5" t="str">
        <v>Correa industrial CR-100</v>
      </c>
      <c r="C5" t="str">
        <v>Correas industriales</v>
      </c>
      <c r="D5">
        <v>42</v>
      </c>
      <c r="E5">
        <v>10</v>
      </c>
      <c r="F5">
        <f>D5-E5</f>
        <v>32</v>
      </c>
      <c r="G5" s="1">
        <v>46273.87467592592</v>
      </c>
    </row>
    <row r="6" ht="24" customHeight="1">
      <c r="A6" t="str">
        <v>CR-500</v>
      </c>
      <c r="B6" t="str">
        <v>Correa reforzada CR-500</v>
      </c>
      <c r="C6" t="str">
        <v>Correas industriales</v>
      </c>
      <c r="D6">
        <v>0</v>
      </c>
      <c r="E6">
        <v>0</v>
      </c>
      <c r="F6">
        <f>D6-E6</f>
        <v>0</v>
      </c>
      <c r="G6" s="1">
        <v>46273.87467592592</v>
      </c>
    </row>
    <row r="7" ht="24" customHeight="1">
      <c r="A7" t="str">
        <v>BOM-100</v>
      </c>
      <c r="B7" t="str">
        <v>Bomba centrífuga BOM-100</v>
      </c>
      <c r="C7" t="str">
        <v>Bombas</v>
      </c>
      <c r="D7">
        <v>8</v>
      </c>
      <c r="E7">
        <v>2</v>
      </c>
      <c r="F7">
        <f>D7-E7</f>
        <v>6</v>
      </c>
      <c r="G7" s="1">
        <v>46273.87467592592</v>
      </c>
    </row>
    <row r="8" ht="24" customHeight="1">
      <c r="A8" t="str">
        <v>BOM-200</v>
      </c>
      <c r="B8" t="str">
        <v>Bomba sumergible BOM-200</v>
      </c>
      <c r="C8" t="str">
        <v>Bombas</v>
      </c>
      <c r="D8">
        <v>12</v>
      </c>
      <c r="E8">
        <v>0</v>
      </c>
      <c r="F8">
        <f>D8-E8</f>
        <v>12</v>
      </c>
      <c r="G8" s="1">
        <v>46273.87467592592</v>
      </c>
    </row>
    <row r="9" ht="24" customHeight="1">
      <c r="A9" t="str">
        <v>VAL-100</v>
      </c>
      <c r="B9" t="str">
        <v>Válvula esférica VAL-100</v>
      </c>
      <c r="C9" t="str">
        <v>Válvulas</v>
      </c>
      <c r="D9">
        <v>90</v>
      </c>
      <c r="E9">
        <v>10</v>
      </c>
      <c r="F9">
        <f>D9-E9</f>
        <v>80</v>
      </c>
      <c r="G9" s="1">
        <v>46273.87467592592</v>
      </c>
    </row>
    <row r="10" ht="24" customHeight="1">
      <c r="A10" t="str">
        <v>VAL-200</v>
      </c>
      <c r="B10" t="str">
        <v>Válvula de retención VAL-200</v>
      </c>
      <c r="C10" t="str">
        <v>Válvulas</v>
      </c>
      <c r="D10">
        <v>20</v>
      </c>
      <c r="E10">
        <v>0</v>
      </c>
      <c r="F10">
        <f>D10-E10</f>
        <v>20</v>
      </c>
      <c r="G10" s="1">
        <v>46273.87467592592</v>
      </c>
    </row>
    <row r="11" ht="24" customHeight="1">
      <c r="A11" t="str">
        <v>SEN-100</v>
      </c>
      <c r="B11" t="str">
        <v>Sensor inductivo SEN-100</v>
      </c>
      <c r="C11" t="str">
        <v>Sensores</v>
      </c>
      <c r="D11">
        <v>250</v>
      </c>
      <c r="E11">
        <v>30</v>
      </c>
      <c r="F11">
        <f>D11-E11</f>
        <v>220</v>
      </c>
      <c r="G11" s="1">
        <v>46273.87467592592</v>
      </c>
    </row>
    <row r="12" ht="24" customHeight="1">
      <c r="A12" t="str">
        <v>SEN-200</v>
      </c>
      <c r="B12" t="str">
        <v>Sensor fotoeléctrico SEN-200</v>
      </c>
      <c r="C12" t="str">
        <v>Sensores</v>
      </c>
      <c r="D12">
        <v>0</v>
      </c>
      <c r="E12">
        <v>0</v>
      </c>
      <c r="F12">
        <f>D12-E12</f>
        <v>0</v>
      </c>
      <c r="G12" s="1">
        <v>46273.87467592592</v>
      </c>
    </row>
    <row r="13" ht="24" customHeight="1">
      <c r="A13" t="str">
        <v>HER-100</v>
      </c>
      <c r="B13" t="str">
        <v>Llave de torque HER-100</v>
      </c>
      <c r="C13" t="str">
        <v>Herramientas</v>
      </c>
      <c r="D13">
        <v>8</v>
      </c>
      <c r="E13">
        <v>2</v>
      </c>
      <c r="F13">
        <f>D13-E13</f>
        <v>6</v>
      </c>
      <c r="G13" s="1">
        <v>46273.87467592592</v>
      </c>
    </row>
    <row r="14" ht="24" customHeight="1">
      <c r="A14" t="str">
        <v>HER-200</v>
      </c>
      <c r="B14" t="str">
        <v>Juego de mechas HER-200</v>
      </c>
      <c r="C14" t="str">
        <v>Herramientas</v>
      </c>
      <c r="D14">
        <v>40</v>
      </c>
      <c r="E14">
        <v>0</v>
      </c>
      <c r="F14">
        <f>D14-E14</f>
        <v>40</v>
      </c>
      <c r="G14" s="1">
        <v>46273.87467592592</v>
      </c>
    </row>
    <row r="15" ht="24" customHeight="1">
      <c r="A15" t="str">
        <v>ELE-100</v>
      </c>
      <c r="B15" t="str">
        <v>Contactor ELE-100</v>
      </c>
      <c r="C15" t="str">
        <v>Componentes eléctricos</v>
      </c>
      <c r="D15">
        <v>75</v>
      </c>
      <c r="E15">
        <v>10</v>
      </c>
      <c r="F15">
        <f>D15-E15</f>
        <v>65</v>
      </c>
      <c r="G15" s="1">
        <v>46273.87467592592</v>
      </c>
    </row>
    <row r="16" ht="24" customHeight="1">
      <c r="A16" t="str">
        <v>ELE-200</v>
      </c>
      <c r="B16" t="str">
        <v>Relé térmico ELE-200</v>
      </c>
      <c r="C16" t="str">
        <v>Componentes eléctricos</v>
      </c>
      <c r="D16">
        <v>19</v>
      </c>
      <c r="E16">
        <v>0</v>
      </c>
      <c r="F16">
        <f>D16-E16</f>
        <v>19</v>
      </c>
      <c r="G16" s="1">
        <v>46273.87467592592</v>
      </c>
    </row>
    <row r="17" ht="24" customHeight="1">
      <c r="A17" t="str">
        <v>ROD-6306</v>
      </c>
      <c r="B17" t="str">
        <v>Rodamiento 6306</v>
      </c>
      <c r="C17" t="str">
        <v>Rodamientos</v>
      </c>
      <c r="D17">
        <v>180</v>
      </c>
      <c r="E17">
        <v>15</v>
      </c>
      <c r="F17">
        <f>D17-E17</f>
        <v>165</v>
      </c>
      <c r="G17" s="1">
        <v>46273.87467592592</v>
      </c>
    </row>
    <row r="18" ht="24" customHeight="1">
      <c r="A18" t="str">
        <v>MTR-300</v>
      </c>
      <c r="B18" t="str">
        <v>Motor monofásico MTR-300</v>
      </c>
      <c r="C18" t="str">
        <v>Motores eléctricos</v>
      </c>
      <c r="D18">
        <v>9</v>
      </c>
      <c r="E18">
        <v>1</v>
      </c>
      <c r="F18">
        <f>D18-E18</f>
        <v>8</v>
      </c>
      <c r="G18" s="1">
        <v>46273.87467592592</v>
      </c>
    </row>
    <row r="19" ht="24" customHeight="1">
      <c r="A19" t="str">
        <v>CR-300</v>
      </c>
      <c r="B19" t="str">
        <v>Correa dentada CR-300</v>
      </c>
      <c r="C19" t="str">
        <v>Correas industriales</v>
      </c>
      <c r="D19">
        <v>130</v>
      </c>
      <c r="E19">
        <v>5</v>
      </c>
      <c r="F19">
        <f>D19-E19</f>
        <v>125</v>
      </c>
      <c r="G19" s="1">
        <v>46273.87467592592</v>
      </c>
    </row>
    <row r="20" ht="24" customHeight="1">
      <c r="A20" t="str">
        <v>VAL-300</v>
      </c>
      <c r="B20" t="str">
        <v>Válvula neumática VAL-300</v>
      </c>
      <c r="C20" t="str">
        <v>Válvulas</v>
      </c>
      <c r="D20">
        <v>18</v>
      </c>
      <c r="E20">
        <v>0</v>
      </c>
      <c r="F20">
        <f>D20-E20</f>
        <v>18</v>
      </c>
      <c r="G20" s="1">
        <v>46273.87467592592</v>
      </c>
    </row>
    <row r="21" ht="24" customHeight="1">
      <c r="A21" t="str">
        <v>ELE-300</v>
      </c>
      <c r="B21" t="str">
        <v>Interruptor termomagnético ELE-300</v>
      </c>
      <c r="C21" t="str">
        <v>Componentes eléctricos</v>
      </c>
      <c r="D21">
        <v>250</v>
      </c>
      <c r="E21">
        <v>10</v>
      </c>
      <c r="F21">
        <f>D21-E21</f>
        <v>240</v>
      </c>
      <c r="G21" s="1">
        <v>46273.87467592592</v>
      </c>
    </row>
  </sheetData>
  <autoFilter ref="A1:G21"/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central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